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17C8558-6B2A-4E54-B37F-FE17E9A778F1}" xr6:coauthVersionLast="47" xr6:coauthVersionMax="47" xr10:uidLastSave="{00000000-0000-0000-0000-000000000000}"/>
  <bookViews>
    <workbookView xWindow="-120" yWindow="-120" windowWidth="20730" windowHeight="11160" xr2:uid="{86C00C57-A41F-4B2A-934E-9D4AE02D0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4" i="1"/>
  <c r="H35" i="1"/>
  <c r="H36" i="1"/>
  <c r="H37" i="1"/>
  <c r="H38" i="1"/>
  <c r="H39" i="1"/>
  <c r="H40" i="1"/>
  <c r="H31" i="1"/>
  <c r="G32" i="1"/>
  <c r="G33" i="1"/>
  <c r="G34" i="1"/>
  <c r="G35" i="1"/>
  <c r="G36" i="1"/>
  <c r="G37" i="1"/>
  <c r="G38" i="1"/>
  <c r="G39" i="1"/>
  <c r="G40" i="1"/>
  <c r="G31" i="1"/>
  <c r="H19" i="1"/>
  <c r="H20" i="1"/>
  <c r="H21" i="1"/>
  <c r="H22" i="1"/>
  <c r="H23" i="1"/>
  <c r="H17" i="1"/>
  <c r="G18" i="1"/>
  <c r="H18" i="1" s="1"/>
  <c r="G19" i="1"/>
  <c r="G20" i="1"/>
  <c r="G21" i="1"/>
  <c r="G22" i="1"/>
  <c r="G23" i="1"/>
  <c r="G24" i="1"/>
  <c r="H24" i="1" s="1"/>
  <c r="G25" i="1"/>
  <c r="H25" i="1" s="1"/>
  <c r="G26" i="1"/>
  <c r="H26" i="1" s="1"/>
  <c r="G17" i="1"/>
  <c r="H3" i="1"/>
  <c r="H4" i="1"/>
  <c r="H6" i="1"/>
  <c r="H7" i="1"/>
  <c r="H9" i="1"/>
  <c r="H10" i="1"/>
  <c r="H11" i="1"/>
  <c r="H12" i="1"/>
  <c r="G4" i="1"/>
  <c r="G5" i="1"/>
  <c r="H5" i="1" s="1"/>
  <c r="G6" i="1"/>
  <c r="G7" i="1"/>
  <c r="G8" i="1"/>
  <c r="H8" i="1" s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<sst xmlns="http://schemas.openxmlformats.org/spreadsheetml/2006/main" count="57" uniqueCount="33">
  <si>
    <t>SN.NO</t>
  </si>
  <si>
    <t>NAME OF STUDENT</t>
  </si>
  <si>
    <t>ANIL</t>
  </si>
  <si>
    <t>SUNIL</t>
  </si>
  <si>
    <t>MOHAN</t>
  </si>
  <si>
    <t>SURESH</t>
  </si>
  <si>
    <t>ROBIN</t>
  </si>
  <si>
    <t>NITIN</t>
  </si>
  <si>
    <t>YOGESH</t>
  </si>
  <si>
    <t>HARSH</t>
  </si>
  <si>
    <t>PRINCE</t>
  </si>
  <si>
    <t>MUKUL</t>
  </si>
  <si>
    <t>ABOVE THEN PASS OTHERWISE FALL</t>
  </si>
  <si>
    <t>MATH</t>
  </si>
  <si>
    <t>HINDI</t>
  </si>
  <si>
    <t>ENGLISH</t>
  </si>
  <si>
    <t>COMPUTER</t>
  </si>
  <si>
    <t>TOTAL MARKS</t>
  </si>
  <si>
    <t>PASS/FAIL</t>
  </si>
  <si>
    <t>ABOVE THE COMMISSION 2% OTHERWISE WORKHARD</t>
  </si>
  <si>
    <t>PENCIL</t>
  </si>
  <si>
    <t>PEN</t>
  </si>
  <si>
    <t>BOXES</t>
  </si>
  <si>
    <t>SHARPNER</t>
  </si>
  <si>
    <t>TOTAL ITEMS</t>
  </si>
  <si>
    <t>COMMISSION/WORKHARD</t>
  </si>
  <si>
    <t>ABOVE THE GOOD OTHERWISE BAD</t>
  </si>
  <si>
    <t>TEST 1</t>
  </si>
  <si>
    <t>TEST 4</t>
  </si>
  <si>
    <t>TEST 3</t>
  </si>
  <si>
    <t>TEST 2</t>
  </si>
  <si>
    <t>TOTAL TEST</t>
  </si>
  <si>
    <t>GOOD/BAD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</si>
</sst>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EA77-FC5F-4469-A4CC-2EF8B8C32822}">
  <dimension ref="A1:H40"/>
  <sheetViews>
    <sheetView tabSelected="1" workbookViewId="0">
      <selection activeCell="A31" sqref="A31:H40"/>
    </sheetView>
  </sheetViews>
  <sheetFormatPr defaultRowHeight="15" x14ac:dyDescent="0.25"/>
  <cols>
    <col min="2" max="2" width="20.7109375" customWidth="1"/>
    <col min="6" max="6" width="12.5703125" customWidth="1"/>
    <col min="7" max="7" width="12" customWidth="1"/>
    <col min="8" max="8" width="27.28515625" customWidth="1"/>
  </cols>
  <sheetData>
    <row r="1" spans="1:8" ht="18.75" x14ac:dyDescent="0.25">
      <c r="A1" s="11" t="s">
        <v>12</v>
      </c>
      <c r="B1" s="11"/>
      <c r="C1" s="11"/>
      <c r="D1" s="11"/>
      <c r="E1" s="11"/>
      <c r="F1" s="11"/>
      <c r="G1" s="11"/>
      <c r="H1" s="11"/>
    </row>
    <row r="2" spans="1:8" ht="30" x14ac:dyDescent="0.25">
      <c r="A2" s="12" t="s">
        <v>0</v>
      </c>
      <c r="B2" s="2" t="s">
        <v>1</v>
      </c>
      <c r="C2" s="13" t="s">
        <v>13</v>
      </c>
      <c r="D2" s="13" t="s">
        <v>14</v>
      </c>
      <c r="E2" s="13" t="s">
        <v>15</v>
      </c>
      <c r="F2" s="13" t="s">
        <v>16</v>
      </c>
      <c r="G2" s="14" t="s">
        <v>17</v>
      </c>
      <c r="H2" s="15" t="s">
        <v>18</v>
      </c>
    </row>
    <row r="3" spans="1:8" x14ac:dyDescent="0.25">
      <c r="A3" s="9">
        <v>1</v>
      </c>
      <c r="B3" s="9" t="s">
        <v>2</v>
      </c>
      <c r="C3" s="16">
        <v>34</v>
      </c>
      <c r="D3" s="16">
        <v>23</v>
      </c>
      <c r="E3" s="16">
        <v>56</v>
      </c>
      <c r="F3" s="16">
        <v>89</v>
      </c>
      <c r="G3" s="16">
        <f>SUM(C3:F3)</f>
        <v>202</v>
      </c>
      <c r="H3" s="16" t="str">
        <f>IF(G3&gt;=202,"PASS","FAIL")</f>
        <v>PASS</v>
      </c>
    </row>
    <row r="4" spans="1:8" x14ac:dyDescent="0.25">
      <c r="A4" s="9">
        <v>2</v>
      </c>
      <c r="B4" s="9" t="s">
        <v>3</v>
      </c>
      <c r="C4" s="16">
        <v>56</v>
      </c>
      <c r="D4" s="16">
        <v>45</v>
      </c>
      <c r="E4" s="16">
        <v>45</v>
      </c>
      <c r="F4" s="16">
        <v>70</v>
      </c>
      <c r="G4" s="16">
        <f t="shared" ref="G4:G12" si="0">SUM(C4:F4)</f>
        <v>216</v>
      </c>
      <c r="H4" s="16" t="str">
        <f t="shared" ref="H4:H12" si="1">IF(G4&gt;=202,"PASS","FALL")</f>
        <v>PASS</v>
      </c>
    </row>
    <row r="5" spans="1:8" x14ac:dyDescent="0.25">
      <c r="A5" s="9">
        <v>3</v>
      </c>
      <c r="B5" s="9" t="s">
        <v>4</v>
      </c>
      <c r="C5" s="16">
        <v>23</v>
      </c>
      <c r="D5" s="16">
        <v>64</v>
      </c>
      <c r="E5" s="16">
        <v>67</v>
      </c>
      <c r="F5" s="16">
        <v>23</v>
      </c>
      <c r="G5" s="16">
        <f t="shared" si="0"/>
        <v>177</v>
      </c>
      <c r="H5" s="16" t="str">
        <f t="shared" si="1"/>
        <v>FALL</v>
      </c>
    </row>
    <row r="6" spans="1:8" x14ac:dyDescent="0.25">
      <c r="A6" s="9">
        <v>4</v>
      </c>
      <c r="B6" s="9" t="s">
        <v>5</v>
      </c>
      <c r="C6" s="16">
        <v>87</v>
      </c>
      <c r="D6" s="16">
        <v>33</v>
      </c>
      <c r="E6" s="16">
        <v>88</v>
      </c>
      <c r="F6" s="16">
        <v>93</v>
      </c>
      <c r="G6" s="16">
        <f t="shared" si="0"/>
        <v>301</v>
      </c>
      <c r="H6" s="16" t="str">
        <f t="shared" si="1"/>
        <v>PASS</v>
      </c>
    </row>
    <row r="7" spans="1:8" x14ac:dyDescent="0.25">
      <c r="A7" s="9">
        <v>5</v>
      </c>
      <c r="B7" s="9" t="s">
        <v>6</v>
      </c>
      <c r="C7" s="16">
        <v>98</v>
      </c>
      <c r="D7" s="16">
        <v>45</v>
      </c>
      <c r="E7" s="16">
        <v>90</v>
      </c>
      <c r="F7" s="16">
        <v>84</v>
      </c>
      <c r="G7" s="16">
        <f t="shared" si="0"/>
        <v>317</v>
      </c>
      <c r="H7" s="16" t="str">
        <f t="shared" si="1"/>
        <v>PASS</v>
      </c>
    </row>
    <row r="8" spans="1:8" x14ac:dyDescent="0.25">
      <c r="A8" s="9">
        <v>6</v>
      </c>
      <c r="B8" s="9" t="s">
        <v>7</v>
      </c>
      <c r="C8" s="16">
        <v>45</v>
      </c>
      <c r="D8" s="16">
        <v>53</v>
      </c>
      <c r="E8" s="16">
        <v>24</v>
      </c>
      <c r="F8" s="16">
        <v>22</v>
      </c>
      <c r="G8" s="16">
        <f t="shared" si="0"/>
        <v>144</v>
      </c>
      <c r="H8" s="16" t="str">
        <f t="shared" si="1"/>
        <v>FALL</v>
      </c>
    </row>
    <row r="9" spans="1:8" x14ac:dyDescent="0.25">
      <c r="A9" s="9">
        <v>7</v>
      </c>
      <c r="B9" s="9" t="s">
        <v>8</v>
      </c>
      <c r="C9" s="16">
        <v>67</v>
      </c>
      <c r="D9" s="16">
        <v>67</v>
      </c>
      <c r="E9" s="16">
        <v>67</v>
      </c>
      <c r="F9" s="16">
        <v>53</v>
      </c>
      <c r="G9" s="16">
        <f t="shared" si="0"/>
        <v>254</v>
      </c>
      <c r="H9" s="16" t="str">
        <f t="shared" si="1"/>
        <v>PASS</v>
      </c>
    </row>
    <row r="10" spans="1:8" x14ac:dyDescent="0.25">
      <c r="A10" s="9">
        <v>8</v>
      </c>
      <c r="B10" s="9" t="s">
        <v>9</v>
      </c>
      <c r="C10" s="16">
        <v>89</v>
      </c>
      <c r="D10" s="16">
        <v>27</v>
      </c>
      <c r="E10" s="16">
        <v>56</v>
      </c>
      <c r="F10" s="16">
        <v>74</v>
      </c>
      <c r="G10" s="16">
        <f t="shared" si="0"/>
        <v>246</v>
      </c>
      <c r="H10" s="16" t="str">
        <f t="shared" si="1"/>
        <v>PASS</v>
      </c>
    </row>
    <row r="11" spans="1:8" x14ac:dyDescent="0.25">
      <c r="A11" s="9">
        <v>9</v>
      </c>
      <c r="B11" s="9" t="s">
        <v>10</v>
      </c>
      <c r="C11" s="16">
        <v>90</v>
      </c>
      <c r="D11" s="16">
        <v>45</v>
      </c>
      <c r="E11" s="16">
        <v>45</v>
      </c>
      <c r="F11" s="16">
        <v>73</v>
      </c>
      <c r="G11" s="16">
        <f t="shared" si="0"/>
        <v>253</v>
      </c>
      <c r="H11" s="16" t="str">
        <f t="shared" si="1"/>
        <v>PASS</v>
      </c>
    </row>
    <row r="12" spans="1:8" x14ac:dyDescent="0.25">
      <c r="A12" s="9">
        <v>10</v>
      </c>
      <c r="B12" s="9" t="s">
        <v>11</v>
      </c>
      <c r="C12" s="16">
        <v>45</v>
      </c>
      <c r="D12" s="16">
        <v>67</v>
      </c>
      <c r="E12" s="16">
        <v>67</v>
      </c>
      <c r="F12" s="16">
        <v>62</v>
      </c>
      <c r="G12" s="16">
        <f t="shared" si="0"/>
        <v>241</v>
      </c>
      <c r="H12" s="16" t="str">
        <f t="shared" si="1"/>
        <v>PASS</v>
      </c>
    </row>
    <row r="15" spans="1:8" ht="18.75" x14ac:dyDescent="0.3">
      <c r="A15" s="7" t="s">
        <v>19</v>
      </c>
      <c r="B15" s="7"/>
      <c r="C15" s="7"/>
      <c r="D15" s="7"/>
      <c r="E15" s="7"/>
      <c r="F15" s="7"/>
      <c r="G15" s="7"/>
      <c r="H15" s="7"/>
    </row>
    <row r="16" spans="1:8" ht="30" x14ac:dyDescent="0.25">
      <c r="A16" s="6" t="s">
        <v>0</v>
      </c>
      <c r="B16" s="2" t="s">
        <v>1</v>
      </c>
      <c r="C16" s="3" t="s">
        <v>20</v>
      </c>
      <c r="D16" s="3" t="s">
        <v>21</v>
      </c>
      <c r="E16" s="3" t="s">
        <v>22</v>
      </c>
      <c r="F16" s="3" t="s">
        <v>23</v>
      </c>
      <c r="G16" s="8" t="s">
        <v>24</v>
      </c>
      <c r="H16" s="5" t="s">
        <v>25</v>
      </c>
    </row>
    <row r="17" spans="1:8" x14ac:dyDescent="0.25">
      <c r="A17" s="9">
        <v>1</v>
      </c>
      <c r="B17" s="9" t="s">
        <v>2</v>
      </c>
      <c r="C17" s="10">
        <v>56</v>
      </c>
      <c r="D17" s="10">
        <v>44</v>
      </c>
      <c r="E17" s="10">
        <v>67</v>
      </c>
      <c r="F17" s="10">
        <v>67</v>
      </c>
      <c r="G17" s="10">
        <f>SUM(C17:F17)</f>
        <v>234</v>
      </c>
      <c r="H17" s="10">
        <f>IF(G17&gt;=234,G17*2%,"WORKHARD")</f>
        <v>4.68</v>
      </c>
    </row>
    <row r="18" spans="1:8" x14ac:dyDescent="0.25">
      <c r="A18" s="9">
        <v>2</v>
      </c>
      <c r="B18" s="9" t="s">
        <v>3</v>
      </c>
      <c r="C18" s="10">
        <v>45</v>
      </c>
      <c r="D18" s="10">
        <v>77</v>
      </c>
      <c r="E18" s="10">
        <v>56</v>
      </c>
      <c r="F18" s="10">
        <v>85</v>
      </c>
      <c r="G18" s="10">
        <f t="shared" ref="G18:G26" si="2">SUM(C18:F18)</f>
        <v>263</v>
      </c>
      <c r="H18" s="10">
        <f t="shared" ref="H18:H26" si="3">IF(G18&gt;=234,G18*2%,"WORKHARD")</f>
        <v>5.26</v>
      </c>
    </row>
    <row r="19" spans="1:8" x14ac:dyDescent="0.25">
      <c r="A19" s="9">
        <v>3</v>
      </c>
      <c r="B19" s="9" t="s">
        <v>4</v>
      </c>
      <c r="C19" s="10">
        <v>76</v>
      </c>
      <c r="D19" s="10">
        <v>23</v>
      </c>
      <c r="E19" s="10">
        <v>87</v>
      </c>
      <c r="F19" s="10">
        <v>95</v>
      </c>
      <c r="G19" s="10">
        <f t="shared" si="2"/>
        <v>281</v>
      </c>
      <c r="H19" s="10">
        <f t="shared" si="3"/>
        <v>5.62</v>
      </c>
    </row>
    <row r="20" spans="1:8" x14ac:dyDescent="0.25">
      <c r="A20" s="9">
        <v>4</v>
      </c>
      <c r="B20" s="9" t="s">
        <v>5</v>
      </c>
      <c r="C20" s="10">
        <v>34</v>
      </c>
      <c r="D20" s="10">
        <v>43</v>
      </c>
      <c r="E20" s="10">
        <v>94</v>
      </c>
      <c r="F20" s="10">
        <v>90</v>
      </c>
      <c r="G20" s="10">
        <f t="shared" si="2"/>
        <v>261</v>
      </c>
      <c r="H20" s="10">
        <f t="shared" si="3"/>
        <v>5.22</v>
      </c>
    </row>
    <row r="21" spans="1:8" x14ac:dyDescent="0.25">
      <c r="A21" s="9">
        <v>5</v>
      </c>
      <c r="B21" s="9" t="s">
        <v>6</v>
      </c>
      <c r="C21" s="10">
        <v>53</v>
      </c>
      <c r="D21" s="10">
        <v>54</v>
      </c>
      <c r="E21" s="10">
        <v>96</v>
      </c>
      <c r="F21" s="10">
        <v>80</v>
      </c>
      <c r="G21" s="10">
        <f t="shared" si="2"/>
        <v>283</v>
      </c>
      <c r="H21" s="10">
        <f t="shared" si="3"/>
        <v>5.66</v>
      </c>
    </row>
    <row r="22" spans="1:8" x14ac:dyDescent="0.25">
      <c r="A22" s="9">
        <v>6</v>
      </c>
      <c r="B22" s="9" t="s">
        <v>7</v>
      </c>
      <c r="C22" s="10">
        <v>62</v>
      </c>
      <c r="D22" s="10">
        <v>46</v>
      </c>
      <c r="E22" s="10">
        <v>87</v>
      </c>
      <c r="F22" s="10">
        <v>50</v>
      </c>
      <c r="G22" s="10">
        <f t="shared" si="2"/>
        <v>245</v>
      </c>
      <c r="H22" s="10">
        <f t="shared" si="3"/>
        <v>4.9000000000000004</v>
      </c>
    </row>
    <row r="23" spans="1:8" x14ac:dyDescent="0.25">
      <c r="A23" s="9">
        <v>7</v>
      </c>
      <c r="B23" s="9" t="s">
        <v>8</v>
      </c>
      <c r="C23" s="10">
        <v>74</v>
      </c>
      <c r="D23" s="10">
        <v>74</v>
      </c>
      <c r="E23" s="10">
        <v>68</v>
      </c>
      <c r="F23" s="10">
        <v>35</v>
      </c>
      <c r="G23" s="10">
        <f t="shared" si="2"/>
        <v>251</v>
      </c>
      <c r="H23" s="10">
        <f t="shared" si="3"/>
        <v>5.0200000000000005</v>
      </c>
    </row>
    <row r="24" spans="1:8" x14ac:dyDescent="0.25">
      <c r="A24" s="9">
        <v>8</v>
      </c>
      <c r="B24" s="9" t="s">
        <v>9</v>
      </c>
      <c r="C24" s="10">
        <v>87</v>
      </c>
      <c r="D24" s="10">
        <v>22</v>
      </c>
      <c r="E24" s="10">
        <v>46</v>
      </c>
      <c r="F24" s="10">
        <v>66</v>
      </c>
      <c r="G24" s="10">
        <f t="shared" si="2"/>
        <v>221</v>
      </c>
      <c r="H24" s="10" t="str">
        <f t="shared" si="3"/>
        <v>WORKHARD</v>
      </c>
    </row>
    <row r="25" spans="1:8" x14ac:dyDescent="0.25">
      <c r="A25" s="9">
        <v>9</v>
      </c>
      <c r="B25" s="9" t="s">
        <v>10</v>
      </c>
      <c r="C25" s="10">
        <v>67</v>
      </c>
      <c r="D25" s="10">
        <v>66</v>
      </c>
      <c r="E25" s="10">
        <v>54</v>
      </c>
      <c r="F25" s="10">
        <v>89</v>
      </c>
      <c r="G25" s="10">
        <f t="shared" si="2"/>
        <v>276</v>
      </c>
      <c r="H25" s="10">
        <f t="shared" si="3"/>
        <v>5.5200000000000005</v>
      </c>
    </row>
    <row r="26" spans="1:8" x14ac:dyDescent="0.25">
      <c r="A26" s="9">
        <v>10</v>
      </c>
      <c r="B26" s="9" t="s">
        <v>11</v>
      </c>
      <c r="C26" s="10">
        <v>89</v>
      </c>
      <c r="D26" s="10">
        <v>87</v>
      </c>
      <c r="E26" s="10">
        <v>34</v>
      </c>
      <c r="F26" s="10">
        <v>77</v>
      </c>
      <c r="G26" s="10">
        <f t="shared" si="2"/>
        <v>287</v>
      </c>
      <c r="H26" s="10">
        <f t="shared" si="3"/>
        <v>5.74</v>
      </c>
    </row>
    <row r="29" spans="1:8" ht="18.75" x14ac:dyDescent="0.25">
      <c r="A29" s="1" t="s">
        <v>26</v>
      </c>
      <c r="B29" s="1"/>
      <c r="C29" s="1"/>
      <c r="D29" s="1"/>
      <c r="E29" s="1"/>
      <c r="F29" s="1"/>
      <c r="G29" s="1"/>
      <c r="H29" s="1"/>
    </row>
    <row r="30" spans="1:8" x14ac:dyDescent="0.25">
      <c r="A30" s="6" t="s">
        <v>0</v>
      </c>
      <c r="B30" s="2" t="s">
        <v>1</v>
      </c>
      <c r="C30" s="3" t="s">
        <v>27</v>
      </c>
      <c r="D30" s="3" t="s">
        <v>30</v>
      </c>
      <c r="E30" s="3" t="s">
        <v>29</v>
      </c>
      <c r="F30" s="3" t="s">
        <v>28</v>
      </c>
      <c r="G30" s="4" t="s">
        <v>31</v>
      </c>
      <c r="H30" s="5" t="s">
        <v>32</v>
      </c>
    </row>
    <row r="31" spans="1:8" x14ac:dyDescent="0.25">
      <c r="A31" s="17">
        <v>1</v>
      </c>
      <c r="B31" s="17" t="s">
        <v>2</v>
      </c>
      <c r="C31" s="17">
        <v>56</v>
      </c>
      <c r="D31" s="17">
        <v>76</v>
      </c>
      <c r="E31" s="17">
        <v>66</v>
      </c>
      <c r="F31" s="17">
        <v>78</v>
      </c>
      <c r="G31" s="17">
        <f>SUM(C31:F31)</f>
        <v>276</v>
      </c>
      <c r="H31" s="17" t="str">
        <f>IF(G31&gt;=276,"GOOD","BAD")</f>
        <v>GOOD</v>
      </c>
    </row>
    <row r="32" spans="1:8" x14ac:dyDescent="0.25">
      <c r="A32" s="17">
        <v>2</v>
      </c>
      <c r="B32" s="17" t="s">
        <v>3</v>
      </c>
      <c r="C32" s="17">
        <v>78</v>
      </c>
      <c r="D32" s="17">
        <v>45</v>
      </c>
      <c r="E32" s="17">
        <v>88</v>
      </c>
      <c r="F32" s="17">
        <v>98</v>
      </c>
      <c r="G32" s="17">
        <f t="shared" ref="G32:G40" si="4">SUM(C32:F32)</f>
        <v>309</v>
      </c>
      <c r="H32" s="17" t="str">
        <f t="shared" ref="H32:H40" si="5">IF(G32&gt;=276,"GOOD","BAD")</f>
        <v>GOOD</v>
      </c>
    </row>
    <row r="33" spans="1:8" x14ac:dyDescent="0.25">
      <c r="A33" s="17">
        <v>3</v>
      </c>
      <c r="B33" s="17" t="s">
        <v>4</v>
      </c>
      <c r="C33" s="17">
        <v>98</v>
      </c>
      <c r="D33" s="17">
        <v>67</v>
      </c>
      <c r="E33" s="17">
        <v>55</v>
      </c>
      <c r="F33" s="17">
        <v>90</v>
      </c>
      <c r="G33" s="17">
        <f t="shared" si="4"/>
        <v>310</v>
      </c>
      <c r="H33" s="17" t="str">
        <f t="shared" si="5"/>
        <v>GOOD</v>
      </c>
    </row>
    <row r="34" spans="1:8" x14ac:dyDescent="0.25">
      <c r="A34" s="17">
        <v>4</v>
      </c>
      <c r="B34" s="17" t="s">
        <v>5</v>
      </c>
      <c r="C34" s="17">
        <v>72</v>
      </c>
      <c r="D34" s="17">
        <v>87</v>
      </c>
      <c r="E34" s="17">
        <v>99</v>
      </c>
      <c r="F34" s="17">
        <v>90</v>
      </c>
      <c r="G34" s="17">
        <f t="shared" si="4"/>
        <v>348</v>
      </c>
      <c r="H34" s="17" t="str">
        <f t="shared" si="5"/>
        <v>GOOD</v>
      </c>
    </row>
    <row r="35" spans="1:8" x14ac:dyDescent="0.25">
      <c r="A35" s="17">
        <v>5</v>
      </c>
      <c r="B35" s="17" t="s">
        <v>6</v>
      </c>
      <c r="C35" s="17">
        <v>92</v>
      </c>
      <c r="D35" s="17">
        <v>52</v>
      </c>
      <c r="E35" s="17">
        <v>66</v>
      </c>
      <c r="F35" s="17">
        <v>89</v>
      </c>
      <c r="G35" s="17">
        <f t="shared" si="4"/>
        <v>299</v>
      </c>
      <c r="H35" s="17" t="str">
        <f t="shared" si="5"/>
        <v>GOOD</v>
      </c>
    </row>
    <row r="36" spans="1:8" x14ac:dyDescent="0.25">
      <c r="A36" s="17">
        <v>6</v>
      </c>
      <c r="B36" s="17" t="s">
        <v>7</v>
      </c>
      <c r="C36" s="17">
        <v>65</v>
      </c>
      <c r="D36" s="17">
        <v>83</v>
      </c>
      <c r="E36" s="17">
        <v>43</v>
      </c>
      <c r="F36" s="17">
        <v>89</v>
      </c>
      <c r="G36" s="17">
        <f t="shared" si="4"/>
        <v>280</v>
      </c>
      <c r="H36" s="17" t="str">
        <f t="shared" si="5"/>
        <v>GOOD</v>
      </c>
    </row>
    <row r="37" spans="1:8" x14ac:dyDescent="0.25">
      <c r="A37" s="17">
        <v>7</v>
      </c>
      <c r="B37" s="17" t="s">
        <v>8</v>
      </c>
      <c r="C37" s="17">
        <v>77</v>
      </c>
      <c r="D37" s="17">
        <v>94</v>
      </c>
      <c r="E37" s="17">
        <v>78</v>
      </c>
      <c r="F37" s="17">
        <v>60</v>
      </c>
      <c r="G37" s="17">
        <f t="shared" si="4"/>
        <v>309</v>
      </c>
      <c r="H37" s="17" t="str">
        <f t="shared" si="5"/>
        <v>GOOD</v>
      </c>
    </row>
    <row r="38" spans="1:8" x14ac:dyDescent="0.25">
      <c r="A38" s="17">
        <v>8</v>
      </c>
      <c r="B38" s="17" t="s">
        <v>9</v>
      </c>
      <c r="C38" s="17">
        <v>44</v>
      </c>
      <c r="D38" s="17">
        <v>56</v>
      </c>
      <c r="E38" s="17">
        <v>76</v>
      </c>
      <c r="F38" s="17">
        <v>90</v>
      </c>
      <c r="G38" s="17">
        <f t="shared" si="4"/>
        <v>266</v>
      </c>
      <c r="H38" s="17" t="str">
        <f t="shared" si="5"/>
        <v>BAD</v>
      </c>
    </row>
    <row r="39" spans="1:8" x14ac:dyDescent="0.25">
      <c r="A39" s="17">
        <v>9</v>
      </c>
      <c r="B39" s="17" t="s">
        <v>10</v>
      </c>
      <c r="C39" s="17">
        <v>56</v>
      </c>
      <c r="D39" s="17">
        <v>35</v>
      </c>
      <c r="E39" s="17">
        <v>87</v>
      </c>
      <c r="F39" s="17">
        <v>56</v>
      </c>
      <c r="G39" s="17">
        <f t="shared" si="4"/>
        <v>234</v>
      </c>
      <c r="H39" s="17" t="str">
        <f t="shared" si="5"/>
        <v>BAD</v>
      </c>
    </row>
    <row r="40" spans="1:8" x14ac:dyDescent="0.25">
      <c r="A40" s="17">
        <v>10</v>
      </c>
      <c r="B40" s="17" t="s">
        <v>11</v>
      </c>
      <c r="C40" s="17">
        <v>88</v>
      </c>
      <c r="D40" s="17">
        <v>55</v>
      </c>
      <c r="E40" s="17">
        <v>67</v>
      </c>
      <c r="F40" s="17">
        <v>97</v>
      </c>
      <c r="G40" s="17">
        <f t="shared" si="4"/>
        <v>307</v>
      </c>
      <c r="H40" s="17" t="str">
        <f t="shared" si="5"/>
        <v>GOOD</v>
      </c>
    </row>
  </sheetData>
  <mergeCells count="3">
    <mergeCell ref="A1:H1"/>
    <mergeCell ref="A15:H1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2026-10-06T10:04:08Z</dcterms:created>
  <dcterms:modified xsi:type="dcterms:W3CDTF">2026-10-06T10:35:50Z</dcterms:modified>
</cp:coreProperties>
</file>