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D50C57E-388A-4A00-A25B-2D466B108296}" xr6:coauthVersionLast="47" xr6:coauthVersionMax="47" xr10:uidLastSave="{00000000-0000-0000-0000-000000000000}"/>
  <bookViews>
    <workbookView xWindow="-120" yWindow="-120" windowWidth="20730" windowHeight="11160" xr2:uid="{252783F5-0B41-4BE3-B701-E2D298829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M5" i="1" s="1"/>
  <c r="H6" i="1"/>
  <c r="M6" i="1" s="1"/>
  <c r="H7" i="1"/>
  <c r="H8" i="1"/>
  <c r="M8" i="1" s="1"/>
  <c r="H9" i="1"/>
  <c r="M9" i="1" s="1"/>
  <c r="H4" i="1"/>
  <c r="I9" i="1" l="1"/>
  <c r="J9" i="1" s="1"/>
  <c r="K9" i="1" s="1"/>
  <c r="L9" i="1" s="1"/>
  <c r="I8" i="1"/>
  <c r="I4" i="1"/>
  <c r="J4" i="1" s="1"/>
  <c r="J8" i="1"/>
  <c r="K8" i="1" s="1"/>
  <c r="M4" i="1"/>
  <c r="I7" i="1"/>
  <c r="M7" i="1"/>
  <c r="I6" i="1"/>
  <c r="I5" i="1"/>
  <c r="J5" i="1" s="1"/>
  <c r="K4" i="1" l="1"/>
  <c r="J6" i="1"/>
  <c r="L8" i="1"/>
  <c r="J7" i="1"/>
  <c r="K7" i="1" s="1"/>
  <c r="L7" i="1" s="1"/>
  <c r="L4" i="1"/>
  <c r="K5" i="1"/>
  <c r="L5" i="1" s="1"/>
  <c r="K6" i="1" l="1"/>
  <c r="L6" i="1" s="1"/>
</calcChain>
</file>

<file path=xl/sharedStrings.xml><?xml version="1.0" encoding="utf-8"?>
<sst xmlns="http://schemas.openxmlformats.org/spreadsheetml/2006/main" count="21" uniqueCount="21">
  <si>
    <t>S.no</t>
  </si>
  <si>
    <t>Name</t>
  </si>
  <si>
    <t xml:space="preserve">Hindi </t>
  </si>
  <si>
    <t>English</t>
  </si>
  <si>
    <t>Math</t>
  </si>
  <si>
    <t>Science</t>
  </si>
  <si>
    <t>History</t>
  </si>
  <si>
    <t>Total</t>
  </si>
  <si>
    <t>Max</t>
  </si>
  <si>
    <t>Min</t>
  </si>
  <si>
    <t>Count</t>
  </si>
  <si>
    <t>Avg.</t>
  </si>
  <si>
    <t>%tage</t>
  </si>
  <si>
    <t>Rohit</t>
  </si>
  <si>
    <t>Mukul</t>
  </si>
  <si>
    <t>Keshav</t>
  </si>
  <si>
    <t>Harsh</t>
  </si>
  <si>
    <t>Ankur</t>
  </si>
  <si>
    <t>Robin</t>
  </si>
  <si>
    <t>Abc Xyz school, Delhi</t>
  </si>
  <si>
    <t>Claas 10th 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</si>
</sst>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 Light"/>
      <family val="2"/>
      <scheme val="maj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2A88-4515-4E0A-92FB-3A0E6E5B3D8A}">
  <dimension ref="A1:M9"/>
  <sheetViews>
    <sheetView tabSelected="1" workbookViewId="0">
      <selection sqref="A1:M9"/>
    </sheetView>
  </sheetViews>
  <sheetFormatPr defaultRowHeight="15" x14ac:dyDescent="0.25"/>
  <sheetData>
    <row r="1" spans="1:13" ht="15.75" x14ac:dyDescent="0.25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13" x14ac:dyDescent="0.25">
      <c r="A4" s="3">
        <v>1</v>
      </c>
      <c r="B4" s="3" t="s">
        <v>13</v>
      </c>
      <c r="C4" s="3">
        <v>44</v>
      </c>
      <c r="D4" s="3">
        <v>45</v>
      </c>
      <c r="E4" s="3">
        <v>34</v>
      </c>
      <c r="F4" s="3">
        <v>77</v>
      </c>
      <c r="G4" s="3">
        <v>76</v>
      </c>
      <c r="H4" s="3">
        <f>SUM(C4:G4)</f>
        <v>276</v>
      </c>
      <c r="I4" s="3">
        <f>MAX(C4:H4)</f>
        <v>276</v>
      </c>
      <c r="J4" s="3">
        <f>MIN(C4:I4)</f>
        <v>34</v>
      </c>
      <c r="K4" s="3">
        <f>COUNT(C4:J4)</f>
        <v>8</v>
      </c>
      <c r="L4" s="3">
        <f>AVERAGE(C4:K4)</f>
        <v>96.666666666666671</v>
      </c>
      <c r="M4" s="3">
        <f>H4/500*100</f>
        <v>55.2</v>
      </c>
    </row>
    <row r="5" spans="1:13" x14ac:dyDescent="0.25">
      <c r="A5" s="3">
        <v>2</v>
      </c>
      <c r="B5" s="3" t="s">
        <v>14</v>
      </c>
      <c r="C5" s="3">
        <v>56</v>
      </c>
      <c r="D5" s="3">
        <v>87</v>
      </c>
      <c r="E5" s="3">
        <v>67</v>
      </c>
      <c r="F5" s="3">
        <v>89</v>
      </c>
      <c r="G5" s="3">
        <v>55</v>
      </c>
      <c r="H5" s="3">
        <f t="shared" ref="H5:H9" si="0">SUM(C5:G5)</f>
        <v>354</v>
      </c>
      <c r="I5" s="3">
        <f t="shared" ref="I5:I9" si="1">MAX(C5:H5)</f>
        <v>354</v>
      </c>
      <c r="J5" s="3">
        <f t="shared" ref="J5:J9" si="2">MIN(C5:I5)</f>
        <v>55</v>
      </c>
      <c r="K5" s="3">
        <f t="shared" ref="K5:K9" si="3">COUNT(C5:J5)</f>
        <v>8</v>
      </c>
      <c r="L5" s="3">
        <f t="shared" ref="L5:L9" si="4">AVERAGE(C5:K5)</f>
        <v>125</v>
      </c>
      <c r="M5" s="3">
        <f t="shared" ref="M5:M9" si="5">H5/500*100</f>
        <v>70.8</v>
      </c>
    </row>
    <row r="6" spans="1:13" x14ac:dyDescent="0.25">
      <c r="A6" s="3">
        <v>3</v>
      </c>
      <c r="B6" s="3" t="s">
        <v>15</v>
      </c>
      <c r="C6" s="3">
        <v>76</v>
      </c>
      <c r="D6" s="3">
        <v>57</v>
      </c>
      <c r="E6" s="3">
        <v>65</v>
      </c>
      <c r="F6" s="3">
        <v>98</v>
      </c>
      <c r="G6" s="3">
        <v>44</v>
      </c>
      <c r="H6" s="3">
        <f t="shared" si="0"/>
        <v>340</v>
      </c>
      <c r="I6" s="3">
        <f t="shared" si="1"/>
        <v>340</v>
      </c>
      <c r="J6" s="3">
        <f t="shared" si="2"/>
        <v>44</v>
      </c>
      <c r="K6" s="3">
        <f t="shared" si="3"/>
        <v>8</v>
      </c>
      <c r="L6" s="3">
        <f t="shared" si="4"/>
        <v>119.11111111111111</v>
      </c>
      <c r="M6" s="3">
        <f t="shared" si="5"/>
        <v>68</v>
      </c>
    </row>
    <row r="7" spans="1:13" x14ac:dyDescent="0.25">
      <c r="A7" s="3">
        <v>4</v>
      </c>
      <c r="B7" s="3" t="s">
        <v>16</v>
      </c>
      <c r="C7" s="3">
        <v>56</v>
      </c>
      <c r="D7" s="3">
        <v>96</v>
      </c>
      <c r="E7" s="3">
        <v>66</v>
      </c>
      <c r="F7" s="3">
        <v>88</v>
      </c>
      <c r="G7" s="3">
        <v>45</v>
      </c>
      <c r="H7" s="3">
        <f t="shared" si="0"/>
        <v>351</v>
      </c>
      <c r="I7" s="3">
        <f t="shared" si="1"/>
        <v>351</v>
      </c>
      <c r="J7" s="3">
        <f t="shared" si="2"/>
        <v>45</v>
      </c>
      <c r="K7" s="3">
        <f t="shared" si="3"/>
        <v>8</v>
      </c>
      <c r="L7" s="3">
        <f t="shared" si="4"/>
        <v>122.88888888888889</v>
      </c>
      <c r="M7" s="3">
        <f t="shared" si="5"/>
        <v>70.199999999999989</v>
      </c>
    </row>
    <row r="8" spans="1:13" x14ac:dyDescent="0.25">
      <c r="A8" s="3">
        <v>5</v>
      </c>
      <c r="B8" s="3" t="s">
        <v>17</v>
      </c>
      <c r="C8" s="3">
        <v>34</v>
      </c>
      <c r="D8" s="3">
        <v>78</v>
      </c>
      <c r="E8" s="3">
        <v>77</v>
      </c>
      <c r="F8" s="3">
        <v>77</v>
      </c>
      <c r="G8" s="3">
        <v>66</v>
      </c>
      <c r="H8" s="3">
        <f t="shared" si="0"/>
        <v>332</v>
      </c>
      <c r="I8" s="3">
        <f t="shared" si="1"/>
        <v>332</v>
      </c>
      <c r="J8" s="3">
        <f t="shared" si="2"/>
        <v>34</v>
      </c>
      <c r="K8" s="3">
        <f t="shared" si="3"/>
        <v>8</v>
      </c>
      <c r="L8" s="3">
        <f t="shared" si="4"/>
        <v>115.33333333333333</v>
      </c>
      <c r="M8" s="3">
        <f t="shared" si="5"/>
        <v>66.400000000000006</v>
      </c>
    </row>
    <row r="9" spans="1:13" x14ac:dyDescent="0.25">
      <c r="A9" s="3">
        <v>6</v>
      </c>
      <c r="B9" s="3" t="s">
        <v>18</v>
      </c>
      <c r="C9" s="3">
        <v>23</v>
      </c>
      <c r="D9" s="3">
        <v>98</v>
      </c>
      <c r="E9" s="3">
        <v>56</v>
      </c>
      <c r="F9" s="3">
        <v>56</v>
      </c>
      <c r="G9" s="3">
        <v>55</v>
      </c>
      <c r="H9" s="3">
        <f t="shared" si="0"/>
        <v>288</v>
      </c>
      <c r="I9" s="3">
        <f t="shared" si="1"/>
        <v>288</v>
      </c>
      <c r="J9" s="3">
        <f t="shared" si="2"/>
        <v>23</v>
      </c>
      <c r="K9" s="3">
        <f t="shared" si="3"/>
        <v>8</v>
      </c>
      <c r="L9" s="3">
        <f t="shared" si="4"/>
        <v>99.444444444444443</v>
      </c>
      <c r="M9" s="3">
        <f t="shared" si="5"/>
        <v>57.599999999999994</v>
      </c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2026-10-03T08:03:56Z</dcterms:created>
  <dcterms:modified xsi:type="dcterms:W3CDTF">2026-10-03T08:30:33Z</dcterms:modified>
</cp:coreProperties>
</file>