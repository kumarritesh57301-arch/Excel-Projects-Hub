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D527401-8F79-4DD7-82B4-BA7260BAAE88}" xr6:coauthVersionLast="47" xr6:coauthVersionMax="47" xr10:uidLastSave="{00000000-0000-0000-0000-000000000000}"/>
  <bookViews>
    <workbookView xWindow="-120" yWindow="-120" windowWidth="20730" windowHeight="11160" xr2:uid="{1A431B56-D183-4D19-8FBC-CB0843837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1" l="1"/>
  <c r="O7" i="1" s="1"/>
  <c r="L7" i="1"/>
  <c r="K7" i="1"/>
  <c r="J7" i="1"/>
  <c r="I7" i="1"/>
  <c r="H7" i="1"/>
  <c r="M7" i="1" s="1"/>
  <c r="N6" i="1"/>
  <c r="O6" i="1" s="1"/>
  <c r="L6" i="1"/>
  <c r="K6" i="1"/>
  <c r="J6" i="1"/>
  <c r="I6" i="1"/>
  <c r="H6" i="1"/>
  <c r="M6" i="1" s="1"/>
  <c r="N5" i="1"/>
  <c r="O5" i="1" s="1"/>
  <c r="L5" i="1"/>
  <c r="K5" i="1"/>
  <c r="J5" i="1"/>
  <c r="I5" i="1"/>
  <c r="H5" i="1"/>
  <c r="M5" i="1" s="1"/>
  <c r="N4" i="1"/>
  <c r="O4" i="1" s="1"/>
  <c r="L4" i="1"/>
  <c r="K4" i="1"/>
  <c r="J4" i="1"/>
  <c r="I4" i="1"/>
  <c r="H4" i="1"/>
  <c r="M4" i="1" s="1"/>
  <c r="N3" i="1"/>
  <c r="O3" i="1" s="1"/>
  <c r="L3" i="1"/>
  <c r="K3" i="1"/>
  <c r="J3" i="1"/>
  <c r="I3" i="1"/>
  <c r="H3" i="1"/>
  <c r="M3" i="1" s="1"/>
  <c r="N2" i="1"/>
  <c r="O2" i="1" s="1"/>
  <c r="L2" i="1"/>
  <c r="K2" i="1"/>
  <c r="J2" i="1"/>
  <c r="I2" i="1"/>
  <c r="H2" i="1"/>
  <c r="M2" i="1" s="1"/>
</calcChain>
</file>

<file path=xl/sharedStrings.xml><?xml version="1.0" encoding="utf-8"?>
<sst xmlns="http://schemas.openxmlformats.org/spreadsheetml/2006/main" count="21" uniqueCount="21">
  <si>
    <t>SR NO</t>
  </si>
  <si>
    <t>NAME OF THE STUDENT</t>
  </si>
  <si>
    <t>HINDI</t>
  </si>
  <si>
    <t>ENGLISH</t>
  </si>
  <si>
    <t>MATH</t>
  </si>
  <si>
    <t>SCIENCE</t>
  </si>
  <si>
    <t>HISTORY</t>
  </si>
  <si>
    <t>TOTAL</t>
  </si>
  <si>
    <t>MAX</t>
  </si>
  <si>
    <t>MIN</t>
  </si>
  <si>
    <t>COUNT</t>
  </si>
  <si>
    <t>AVG</t>
  </si>
  <si>
    <t>%TAGE</t>
  </si>
  <si>
    <t>RESULT</t>
  </si>
  <si>
    <t>GRADE</t>
  </si>
  <si>
    <t>Murari Lal</t>
  </si>
  <si>
    <t>Bagat Singh</t>
  </si>
  <si>
    <t>chandan Raj</t>
  </si>
  <si>
    <t>Utkal Kumar</t>
  </si>
  <si>
    <t>Ajay Sharma</t>
  </si>
  <si>
    <t>Ram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</si>
</sst>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66718-B576-469C-83CA-3ECD73F39240}">
  <dimension ref="A1:O7"/>
  <sheetViews>
    <sheetView tabSelected="1" workbookViewId="0">
      <selection activeCell="C16" activeCellId="1" sqref="A1:O7 C1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</v>
      </c>
      <c r="B2" s="1" t="s">
        <v>15</v>
      </c>
      <c r="C2" s="1">
        <v>34</v>
      </c>
      <c r="D2" s="1">
        <v>33</v>
      </c>
      <c r="E2" s="1">
        <v>38</v>
      </c>
      <c r="F2" s="1">
        <v>56</v>
      </c>
      <c r="G2" s="1">
        <v>35</v>
      </c>
      <c r="H2" s="1">
        <f t="shared" ref="H2:H7" si="0">SUM(C2:G2)</f>
        <v>196</v>
      </c>
      <c r="I2" s="1">
        <f t="shared" ref="I2:I7" si="1">MAX(C2:G2)</f>
        <v>56</v>
      </c>
      <c r="J2" s="1">
        <f t="shared" ref="J2:J7" si="2">MIN(C2:G2)</f>
        <v>33</v>
      </c>
      <c r="K2" s="1">
        <f t="shared" ref="K2:K7" si="3">COUNT(C2:G2)</f>
        <v>5</v>
      </c>
      <c r="L2" s="1">
        <f t="shared" ref="L2:L7" si="4">AVERAGE(C2:G2)</f>
        <v>39.200000000000003</v>
      </c>
      <c r="M2" s="1">
        <f t="shared" ref="M2:M7" si="5">H2/500*100</f>
        <v>39.200000000000003</v>
      </c>
      <c r="N2" s="1" t="str">
        <f t="shared" ref="N2:N7" si="6">IF(AND(C2&gt;=33,D2&gt;=33,E2&gt;=33,F2&gt;=33,G2&gt;=33),"PASS","FAIL")</f>
        <v>PASS</v>
      </c>
      <c r="O2" s="1" t="str">
        <f t="shared" ref="O2:O7" si="7">IF(N2="FAIL","F",IF(M2&gt;=75,"A+",IF(M2&gt;=60,"A",IF(M2&gt;=45,"B",IF(M2&gt;=33,"C")))))</f>
        <v>C</v>
      </c>
    </row>
    <row r="3" spans="1:15" x14ac:dyDescent="0.25">
      <c r="A3" s="1">
        <v>2</v>
      </c>
      <c r="B3" s="1" t="s">
        <v>16</v>
      </c>
      <c r="C3" s="1">
        <v>23</v>
      </c>
      <c r="D3" s="1">
        <v>31</v>
      </c>
      <c r="E3" s="1">
        <v>34</v>
      </c>
      <c r="F3" s="1">
        <v>56</v>
      </c>
      <c r="G3" s="1">
        <v>35</v>
      </c>
      <c r="H3" s="1">
        <f t="shared" si="0"/>
        <v>179</v>
      </c>
      <c r="I3" s="1">
        <f t="shared" si="1"/>
        <v>56</v>
      </c>
      <c r="J3" s="1">
        <f t="shared" si="2"/>
        <v>23</v>
      </c>
      <c r="K3" s="1">
        <f t="shared" si="3"/>
        <v>5</v>
      </c>
      <c r="L3" s="1">
        <f t="shared" si="4"/>
        <v>35.799999999999997</v>
      </c>
      <c r="M3" s="1">
        <f t="shared" si="5"/>
        <v>35.799999999999997</v>
      </c>
      <c r="N3" s="1" t="str">
        <f t="shared" si="6"/>
        <v>FAIL</v>
      </c>
      <c r="O3" s="1" t="str">
        <f t="shared" si="7"/>
        <v>F</v>
      </c>
    </row>
    <row r="4" spans="1:15" x14ac:dyDescent="0.25">
      <c r="A4" s="1">
        <v>3</v>
      </c>
      <c r="B4" s="1" t="s">
        <v>17</v>
      </c>
      <c r="C4" s="1">
        <v>56</v>
      </c>
      <c r="D4" s="1">
        <v>46</v>
      </c>
      <c r="E4" s="1">
        <v>45</v>
      </c>
      <c r="F4" s="1">
        <v>45</v>
      </c>
      <c r="G4" s="1">
        <v>67</v>
      </c>
      <c r="H4" s="1">
        <f t="shared" si="0"/>
        <v>259</v>
      </c>
      <c r="I4" s="1">
        <f t="shared" si="1"/>
        <v>67</v>
      </c>
      <c r="J4" s="1">
        <f t="shared" si="2"/>
        <v>45</v>
      </c>
      <c r="K4" s="1">
        <f t="shared" si="3"/>
        <v>5</v>
      </c>
      <c r="L4" s="1">
        <f t="shared" si="4"/>
        <v>51.8</v>
      </c>
      <c r="M4" s="1">
        <f t="shared" si="5"/>
        <v>51.800000000000004</v>
      </c>
      <c r="N4" s="1" t="str">
        <f t="shared" si="6"/>
        <v>PASS</v>
      </c>
      <c r="O4" s="1" t="str">
        <f t="shared" si="7"/>
        <v>B</v>
      </c>
    </row>
    <row r="5" spans="1:15" x14ac:dyDescent="0.25">
      <c r="A5" s="1">
        <v>4</v>
      </c>
      <c r="B5" s="1" t="s">
        <v>18</v>
      </c>
      <c r="C5" s="1">
        <v>89</v>
      </c>
      <c r="D5" s="1">
        <v>78</v>
      </c>
      <c r="E5" s="1">
        <v>81</v>
      </c>
      <c r="F5" s="1">
        <v>56</v>
      </c>
      <c r="G5" s="1">
        <v>78</v>
      </c>
      <c r="H5" s="1">
        <f t="shared" si="0"/>
        <v>382</v>
      </c>
      <c r="I5" s="1">
        <f t="shared" si="1"/>
        <v>89</v>
      </c>
      <c r="J5" s="1">
        <f t="shared" si="2"/>
        <v>56</v>
      </c>
      <c r="K5" s="1">
        <f t="shared" si="3"/>
        <v>5</v>
      </c>
      <c r="L5" s="1">
        <f t="shared" si="4"/>
        <v>76.400000000000006</v>
      </c>
      <c r="M5" s="1">
        <f t="shared" si="5"/>
        <v>76.400000000000006</v>
      </c>
      <c r="N5" s="1" t="str">
        <f t="shared" si="6"/>
        <v>PASS</v>
      </c>
      <c r="O5" s="1" t="str">
        <f t="shared" si="7"/>
        <v>A+</v>
      </c>
    </row>
    <row r="6" spans="1:15" x14ac:dyDescent="0.25">
      <c r="A6" s="1">
        <v>5</v>
      </c>
      <c r="B6" s="1" t="s">
        <v>19</v>
      </c>
      <c r="C6" s="1">
        <v>29</v>
      </c>
      <c r="D6" s="1">
        <v>45</v>
      </c>
      <c r="E6" s="1">
        <v>49</v>
      </c>
      <c r="F6" s="1">
        <v>67</v>
      </c>
      <c r="G6" s="1">
        <v>57</v>
      </c>
      <c r="H6" s="1">
        <f t="shared" si="0"/>
        <v>247</v>
      </c>
      <c r="I6" s="1">
        <f t="shared" si="1"/>
        <v>67</v>
      </c>
      <c r="J6" s="1">
        <f t="shared" si="2"/>
        <v>29</v>
      </c>
      <c r="K6" s="1">
        <f t="shared" si="3"/>
        <v>5</v>
      </c>
      <c r="L6" s="1">
        <f t="shared" si="4"/>
        <v>49.4</v>
      </c>
      <c r="M6" s="1">
        <f t="shared" si="5"/>
        <v>49.4</v>
      </c>
      <c r="N6" s="1" t="str">
        <f t="shared" si="6"/>
        <v>FAIL</v>
      </c>
      <c r="O6" s="1" t="str">
        <f t="shared" si="7"/>
        <v>F</v>
      </c>
    </row>
    <row r="7" spans="1:15" x14ac:dyDescent="0.25">
      <c r="A7" s="1">
        <v>6</v>
      </c>
      <c r="B7" s="1" t="s">
        <v>20</v>
      </c>
      <c r="C7" s="1">
        <v>59</v>
      </c>
      <c r="D7" s="1">
        <v>60</v>
      </c>
      <c r="E7" s="1">
        <v>67</v>
      </c>
      <c r="F7" s="1">
        <v>56</v>
      </c>
      <c r="G7" s="1">
        <v>58</v>
      </c>
      <c r="H7" s="1">
        <f t="shared" si="0"/>
        <v>300</v>
      </c>
      <c r="I7" s="1">
        <f t="shared" si="1"/>
        <v>67</v>
      </c>
      <c r="J7" s="1">
        <f t="shared" si="2"/>
        <v>56</v>
      </c>
      <c r="K7" s="1">
        <f t="shared" si="3"/>
        <v>5</v>
      </c>
      <c r="L7" s="1">
        <f t="shared" si="4"/>
        <v>60</v>
      </c>
      <c r="M7" s="1">
        <f t="shared" si="5"/>
        <v>60</v>
      </c>
      <c r="N7" s="1" t="str">
        <f t="shared" si="6"/>
        <v>PASS</v>
      </c>
      <c r="O7" s="1" t="str">
        <f t="shared" si="7"/>
        <v>A</v>
      </c>
    </row>
  </sheetData>
  <conditionalFormatting sqref="B2:B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2026-10-01T06:18:20Z</dcterms:created>
  <dcterms:modified xsi:type="dcterms:W3CDTF">2026-10-01T06:18:47Z</dcterms:modified>
</cp:coreProperties>
</file>